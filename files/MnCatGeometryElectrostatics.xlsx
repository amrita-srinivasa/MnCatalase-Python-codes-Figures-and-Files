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F8BD4A1A-30C9-443A-A427-955D9270F8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3" i="1"/>
  <c r="C4" i="1"/>
  <c r="C8" i="1"/>
  <c r="C9" i="1"/>
  <c r="C10" i="1"/>
  <c r="C14" i="1"/>
  <c r="C15" i="1"/>
  <c r="C16" i="1"/>
  <c r="C5" i="1"/>
  <c r="C6" i="1"/>
  <c r="C7" i="1"/>
  <c r="C12" i="1"/>
  <c r="C13" i="1"/>
  <c r="C2" i="1"/>
</calcChain>
</file>

<file path=xl/sharedStrings.xml><?xml version="1.0" encoding="utf-8"?>
<sst xmlns="http://schemas.openxmlformats.org/spreadsheetml/2006/main" count="48" uniqueCount="26">
  <si>
    <t>MnCatType</t>
  </si>
  <si>
    <t>InterfaceType</t>
  </si>
  <si>
    <t>IntType</t>
  </si>
  <si>
    <t>BSA</t>
  </si>
  <si>
    <t>Residues</t>
  </si>
  <si>
    <t>Atoms</t>
  </si>
  <si>
    <t>LD</t>
  </si>
  <si>
    <t>StdDevp BSA</t>
  </si>
  <si>
    <t>StdDevp Residues</t>
  </si>
  <si>
    <t>StdDevp Atoms</t>
  </si>
  <si>
    <t>StdDevp Ld</t>
  </si>
  <si>
    <t>Hbond</t>
  </si>
  <si>
    <t>StdDevpHbond</t>
  </si>
  <si>
    <t>ddg</t>
  </si>
  <si>
    <t>StdDevddg</t>
  </si>
  <si>
    <t>fa_elec</t>
  </si>
  <si>
    <t>fa_van_aatr</t>
  </si>
  <si>
    <t>fa_van_rep</t>
  </si>
  <si>
    <t>Lacto</t>
  </si>
  <si>
    <t>IntL</t>
  </si>
  <si>
    <t>IntLX</t>
  </si>
  <si>
    <t>IntN</t>
  </si>
  <si>
    <t>Anabena</t>
  </si>
  <si>
    <t>Thermo</t>
  </si>
  <si>
    <t>Geo</t>
  </si>
  <si>
    <t>Archaea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</si>
</sst>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ptos Narrow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R26" sqref="R26"/>
    </sheetView>
  </sheetViews>
  <sheetFormatPr defaultRowHeight="15"/>
  <cols>
    <col min="1" max="1" width="24.85546875" customWidth="1"/>
    <col min="3" max="3" width="30.7109375" customWidth="1"/>
    <col min="9" max="9" width="19.7109375" customWidth="1"/>
    <col min="10" max="10" width="14.7109375" customWidth="1"/>
    <col min="13" max="13" width="16.28515625" customWidth="1"/>
    <col min="15" max="15" width="12.5703125" customWidth="1"/>
    <col min="17" max="17" width="14.42578125" customWidth="1"/>
    <col min="18" max="18" width="12.28515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 s="1" t="s">
        <v>19</v>
      </c>
      <c r="C2" s="1" t="str">
        <f>_xlfn.CONCAT(A2,B2)</f>
        <v>LactoIntL</v>
      </c>
      <c r="D2" s="1">
        <v>7767.8</v>
      </c>
      <c r="E2" s="1">
        <v>199.8</v>
      </c>
      <c r="F2" s="1">
        <v>793.7</v>
      </c>
      <c r="G2" s="1">
        <v>24.6</v>
      </c>
      <c r="H2" s="1">
        <v>58.5</v>
      </c>
      <c r="I2">
        <v>1.9</v>
      </c>
      <c r="J2">
        <v>6.4</v>
      </c>
      <c r="K2">
        <v>0.2</v>
      </c>
      <c r="L2">
        <v>39.200000000000003</v>
      </c>
      <c r="M2">
        <v>19.899999999999999</v>
      </c>
      <c r="N2">
        <v>-257.8</v>
      </c>
      <c r="O2">
        <v>86.9</v>
      </c>
      <c r="P2">
        <v>-793</v>
      </c>
      <c r="Q2">
        <v>-3218.7</v>
      </c>
      <c r="R2">
        <v>515.6</v>
      </c>
    </row>
    <row r="3" spans="1:18">
      <c r="A3" s="1" t="s">
        <v>18</v>
      </c>
      <c r="B3" s="1" t="s">
        <v>20</v>
      </c>
      <c r="C3" s="1" t="str">
        <f t="shared" ref="C3:C4" si="0">_xlfn.CONCAT(A3,B3)</f>
        <v>LactoIntLX</v>
      </c>
      <c r="D3" s="1">
        <v>3575.4</v>
      </c>
      <c r="E3" s="1">
        <v>91</v>
      </c>
      <c r="F3" s="1">
        <v>359.8</v>
      </c>
      <c r="G3" s="1">
        <v>25.3</v>
      </c>
      <c r="H3" s="1">
        <v>45.9</v>
      </c>
      <c r="I3">
        <v>1.2</v>
      </c>
      <c r="J3">
        <v>3.9</v>
      </c>
      <c r="K3">
        <v>0.1</v>
      </c>
      <c r="L3">
        <v>17.2</v>
      </c>
      <c r="M3">
        <v>0.7</v>
      </c>
      <c r="N3">
        <v>-92.95</v>
      </c>
      <c r="O3">
        <v>6.65</v>
      </c>
      <c r="P3">
        <v>-724.2</v>
      </c>
      <c r="Q3">
        <v>-2939.2</v>
      </c>
      <c r="R3">
        <v>740.9</v>
      </c>
    </row>
    <row r="4" spans="1:18">
      <c r="A4" s="1" t="s">
        <v>18</v>
      </c>
      <c r="B4" s="1" t="s">
        <v>21</v>
      </c>
      <c r="C4" s="1" t="str">
        <f t="shared" si="0"/>
        <v>LactoIntN</v>
      </c>
      <c r="D4" s="1">
        <v>2148.8000000000002</v>
      </c>
      <c r="E4" s="1">
        <v>67.099999999999994</v>
      </c>
      <c r="F4" s="1">
        <v>215.4</v>
      </c>
      <c r="G4" s="1">
        <v>14.7</v>
      </c>
      <c r="H4" s="1">
        <v>56.9</v>
      </c>
      <c r="I4">
        <v>2.1</v>
      </c>
      <c r="J4">
        <v>5.2</v>
      </c>
      <c r="K4">
        <v>0.4</v>
      </c>
      <c r="L4">
        <v>10.5</v>
      </c>
      <c r="M4">
        <v>5</v>
      </c>
      <c r="N4">
        <v>-43.6</v>
      </c>
      <c r="O4">
        <v>22.7</v>
      </c>
      <c r="P4">
        <v>-693.6</v>
      </c>
      <c r="Q4">
        <v>-2900</v>
      </c>
      <c r="R4">
        <v>1180</v>
      </c>
    </row>
    <row r="5" spans="1:18">
      <c r="A5" s="1" t="s">
        <v>22</v>
      </c>
      <c r="B5" s="1" t="s">
        <v>19</v>
      </c>
      <c r="C5" s="1" t="str">
        <f>_xlfn.CONCAT(A5,B5)</f>
        <v>AnabenaIntL</v>
      </c>
      <c r="D5" s="2">
        <v>6017.1</v>
      </c>
      <c r="E5" s="1">
        <v>160.69999999999999</v>
      </c>
      <c r="F5" s="1">
        <v>608</v>
      </c>
      <c r="G5" s="1">
        <v>24.6</v>
      </c>
      <c r="H5" s="1">
        <v>0</v>
      </c>
      <c r="I5" s="1">
        <v>0</v>
      </c>
      <c r="J5" s="1">
        <v>0</v>
      </c>
      <c r="K5" s="1">
        <v>0</v>
      </c>
      <c r="L5">
        <v>18</v>
      </c>
      <c r="M5" s="1">
        <v>0</v>
      </c>
      <c r="N5">
        <v>-158.6</v>
      </c>
      <c r="O5" s="1">
        <v>0</v>
      </c>
      <c r="P5">
        <v>-664.9</v>
      </c>
      <c r="Q5">
        <v>-2718.8</v>
      </c>
      <c r="R5">
        <v>531.1</v>
      </c>
    </row>
    <row r="6" spans="1:18">
      <c r="A6" s="1" t="s">
        <v>22</v>
      </c>
      <c r="B6" s="1" t="s">
        <v>20</v>
      </c>
      <c r="C6" s="1" t="str">
        <f>_xlfn.CONCAT(A6,B6)</f>
        <v>AnabenaIntLX</v>
      </c>
      <c r="D6" s="1">
        <v>3806.6</v>
      </c>
      <c r="E6" s="1">
        <v>93.3</v>
      </c>
      <c r="F6" s="1">
        <v>380</v>
      </c>
      <c r="G6" s="1">
        <v>26.9</v>
      </c>
      <c r="H6" s="1">
        <v>0</v>
      </c>
      <c r="I6" s="1">
        <v>0</v>
      </c>
      <c r="J6" s="1">
        <v>0</v>
      </c>
      <c r="K6" s="1">
        <v>0</v>
      </c>
      <c r="L6">
        <v>18.3</v>
      </c>
      <c r="M6" s="1">
        <v>0</v>
      </c>
      <c r="N6">
        <v>-108.4</v>
      </c>
      <c r="O6" s="1">
        <v>0</v>
      </c>
      <c r="P6">
        <v>-638.79999999999995</v>
      </c>
      <c r="Q6">
        <v>-2632.3</v>
      </c>
      <c r="R6">
        <v>554.70000000000005</v>
      </c>
    </row>
    <row r="7" spans="1:18">
      <c r="A7" s="1" t="s">
        <v>22</v>
      </c>
      <c r="B7" s="1" t="s">
        <v>21</v>
      </c>
      <c r="C7" s="1" t="str">
        <f>_xlfn.CONCAT(A7,B7)</f>
        <v>AnabenaIntN</v>
      </c>
      <c r="D7" s="1">
        <v>1236.7</v>
      </c>
      <c r="E7" s="1">
        <v>39</v>
      </c>
      <c r="F7" s="1">
        <v>120.3</v>
      </c>
      <c r="G7" s="1">
        <v>12.3</v>
      </c>
      <c r="H7" s="1">
        <v>0</v>
      </c>
      <c r="I7" s="1">
        <v>0</v>
      </c>
      <c r="J7" s="1">
        <v>0</v>
      </c>
      <c r="K7" s="1">
        <v>0</v>
      </c>
      <c r="L7">
        <v>7.3</v>
      </c>
      <c r="M7" s="1">
        <v>0</v>
      </c>
      <c r="N7">
        <v>-21.6</v>
      </c>
      <c r="O7" s="1">
        <v>0</v>
      </c>
      <c r="P7">
        <v>-588.20000000000005</v>
      </c>
      <c r="Q7">
        <v>-2528.1</v>
      </c>
      <c r="R7">
        <v>612.70000000000005</v>
      </c>
    </row>
    <row r="8" spans="1:18">
      <c r="A8" s="1" t="s">
        <v>23</v>
      </c>
      <c r="B8" s="1" t="s">
        <v>19</v>
      </c>
      <c r="C8" s="1" t="str">
        <f>_xlfn.CONCAT(A8,B8)</f>
        <v>ThermoIntL</v>
      </c>
      <c r="D8" s="1">
        <v>2450.1</v>
      </c>
      <c r="E8" s="1">
        <v>66</v>
      </c>
      <c r="F8" s="1">
        <v>240.8</v>
      </c>
      <c r="G8" s="1">
        <v>22</v>
      </c>
      <c r="H8" s="1">
        <v>15.2</v>
      </c>
      <c r="I8">
        <v>1</v>
      </c>
      <c r="J8">
        <v>1.3</v>
      </c>
      <c r="K8">
        <v>0.1</v>
      </c>
      <c r="L8">
        <v>5.5</v>
      </c>
      <c r="M8">
        <v>1.5</v>
      </c>
      <c r="N8">
        <v>-72.95</v>
      </c>
      <c r="O8">
        <v>0.65</v>
      </c>
      <c r="P8">
        <v>-950.4</v>
      </c>
      <c r="Q8">
        <v>-3582.8</v>
      </c>
      <c r="R8">
        <v>986.9</v>
      </c>
    </row>
    <row r="9" spans="1:18">
      <c r="A9" s="1" t="s">
        <v>23</v>
      </c>
      <c r="B9" s="1" t="s">
        <v>20</v>
      </c>
      <c r="C9" s="1" t="str">
        <f>_xlfn.CONCAT(A9,B9)</f>
        <v>ThermoIntLX</v>
      </c>
      <c r="D9" s="1">
        <v>7763.9</v>
      </c>
      <c r="E9" s="1">
        <v>200.7</v>
      </c>
      <c r="F9" s="1">
        <v>766.7</v>
      </c>
      <c r="G9" s="1">
        <v>31</v>
      </c>
      <c r="H9" s="1">
        <v>106.9</v>
      </c>
      <c r="I9">
        <v>1.6</v>
      </c>
      <c r="J9">
        <v>5.8</v>
      </c>
      <c r="K9">
        <v>0.3</v>
      </c>
      <c r="L9">
        <v>54.5</v>
      </c>
      <c r="M9">
        <v>0.5</v>
      </c>
      <c r="N9">
        <v>-281.55</v>
      </c>
      <c r="O9">
        <v>3.15</v>
      </c>
      <c r="P9">
        <v>-1106.5</v>
      </c>
      <c r="Q9">
        <v>-3828.5</v>
      </c>
      <c r="R9">
        <v>851.6</v>
      </c>
    </row>
    <row r="10" spans="1:18">
      <c r="A10" s="1" t="s">
        <v>23</v>
      </c>
      <c r="B10" s="1" t="s">
        <v>21</v>
      </c>
      <c r="C10" s="1" t="str">
        <f>_xlfn.CONCAT(A10,B10)</f>
        <v>ThermoIntN</v>
      </c>
      <c r="D10" s="1">
        <v>2061.1999999999998</v>
      </c>
      <c r="E10" s="1">
        <v>59.9</v>
      </c>
      <c r="F10" s="1">
        <v>212.1</v>
      </c>
      <c r="G10" s="1">
        <v>22.7</v>
      </c>
      <c r="H10" s="1">
        <v>19</v>
      </c>
      <c r="I10">
        <v>0.9</v>
      </c>
      <c r="J10">
        <v>4.5999999999999996</v>
      </c>
      <c r="K10">
        <v>0.3</v>
      </c>
      <c r="L10">
        <v>10.3</v>
      </c>
      <c r="M10">
        <v>0.4</v>
      </c>
      <c r="N10">
        <v>-65.849999999999994</v>
      </c>
      <c r="O10">
        <v>1.05</v>
      </c>
      <c r="P10">
        <v>-970.3</v>
      </c>
      <c r="Q10">
        <v>-3594.3</v>
      </c>
      <c r="R10">
        <v>1015.1</v>
      </c>
    </row>
    <row r="11" spans="1:18">
      <c r="A11" t="s">
        <v>24</v>
      </c>
      <c r="B11" s="1" t="s">
        <v>19</v>
      </c>
      <c r="C11" s="1" t="str">
        <f>_xlfn.CONCAT(A11,B11)</f>
        <v>GeoIntL</v>
      </c>
      <c r="D11" s="4">
        <v>2387.3000000000002</v>
      </c>
      <c r="E11">
        <v>66</v>
      </c>
      <c r="F11">
        <v>160.69999999999999</v>
      </c>
      <c r="G11">
        <v>19.7</v>
      </c>
      <c r="H11">
        <v>0</v>
      </c>
      <c r="I11">
        <v>0</v>
      </c>
      <c r="J11">
        <v>0</v>
      </c>
      <c r="K11">
        <v>0</v>
      </c>
      <c r="L11">
        <v>4</v>
      </c>
      <c r="M11">
        <v>0</v>
      </c>
      <c r="N11">
        <v>-68.5</v>
      </c>
      <c r="O11">
        <v>0</v>
      </c>
      <c r="P11">
        <v>-1029.5999999999999</v>
      </c>
      <c r="Q11">
        <v>-3543.8</v>
      </c>
      <c r="R11">
        <v>934</v>
      </c>
    </row>
    <row r="12" spans="1:18">
      <c r="A12" t="s">
        <v>24</v>
      </c>
      <c r="B12" s="1" t="s">
        <v>20</v>
      </c>
      <c r="C12" s="1" t="str">
        <f>_xlfn.CONCAT(A12,B12)</f>
        <v>GeoIntLX</v>
      </c>
      <c r="D12">
        <v>7825.9</v>
      </c>
      <c r="E12">
        <v>197.7</v>
      </c>
      <c r="F12">
        <v>93.3</v>
      </c>
      <c r="G12">
        <v>32</v>
      </c>
      <c r="H12">
        <v>0</v>
      </c>
      <c r="I12">
        <v>0</v>
      </c>
      <c r="J12">
        <v>0</v>
      </c>
      <c r="K12">
        <v>0</v>
      </c>
      <c r="L12">
        <v>33.700000000000003</v>
      </c>
      <c r="M12">
        <v>0</v>
      </c>
      <c r="N12">
        <v>-189.5</v>
      </c>
      <c r="O12">
        <v>0</v>
      </c>
      <c r="P12">
        <v>-1156.0999999999999</v>
      </c>
      <c r="Q12">
        <v>-3804.8</v>
      </c>
      <c r="R12">
        <v>887.9</v>
      </c>
    </row>
    <row r="13" spans="1:18">
      <c r="A13" t="s">
        <v>24</v>
      </c>
      <c r="B13" s="1" t="s">
        <v>21</v>
      </c>
      <c r="C13" s="1" t="str">
        <f>_xlfn.CONCAT(A13,B13)</f>
        <v>GeoIntN</v>
      </c>
      <c r="D13">
        <v>2155.1</v>
      </c>
      <c r="E13">
        <v>59.8</v>
      </c>
      <c r="F13">
        <v>39</v>
      </c>
      <c r="G13">
        <v>22.6</v>
      </c>
      <c r="H13">
        <v>0</v>
      </c>
      <c r="I13">
        <v>0</v>
      </c>
      <c r="J13">
        <v>0</v>
      </c>
      <c r="K13">
        <v>0</v>
      </c>
      <c r="L13">
        <v>8</v>
      </c>
      <c r="M13">
        <v>0</v>
      </c>
      <c r="N13">
        <v>-59.8</v>
      </c>
      <c r="O13">
        <v>0</v>
      </c>
      <c r="P13">
        <v>-1053.0999999999999</v>
      </c>
      <c r="Q13">
        <v>-3574.2</v>
      </c>
      <c r="R13">
        <v>954</v>
      </c>
    </row>
    <row r="14" spans="1:18">
      <c r="A14" s="1" t="s">
        <v>25</v>
      </c>
      <c r="B14" s="1" t="s">
        <v>19</v>
      </c>
      <c r="C14" s="1" t="str">
        <f>_xlfn.CONCAT(A14,B14)</f>
        <v>ArchaeaIntL</v>
      </c>
      <c r="D14" s="3">
        <v>2355.6</v>
      </c>
      <c r="E14" s="1">
        <v>60</v>
      </c>
      <c r="F14" s="1">
        <v>658</v>
      </c>
      <c r="G14" s="1">
        <v>21.2</v>
      </c>
      <c r="H14" s="1">
        <v>0</v>
      </c>
      <c r="I14" s="1">
        <v>0</v>
      </c>
      <c r="J14" s="1">
        <v>0</v>
      </c>
      <c r="K14" s="1">
        <v>0</v>
      </c>
      <c r="L14">
        <v>6</v>
      </c>
      <c r="M14" s="1">
        <v>0</v>
      </c>
      <c r="N14">
        <v>-90.4</v>
      </c>
      <c r="O14" s="1">
        <v>0</v>
      </c>
      <c r="P14">
        <v>-970.6</v>
      </c>
      <c r="Q14">
        <v>-3511.2</v>
      </c>
      <c r="R14">
        <v>834.2</v>
      </c>
    </row>
    <row r="15" spans="1:18">
      <c r="A15" s="1" t="s">
        <v>25</v>
      </c>
      <c r="B15" s="1" t="s">
        <v>20</v>
      </c>
      <c r="C15" s="1" t="str">
        <f>_xlfn.CONCAT(A15,B15)</f>
        <v>ArchaeaIntLX</v>
      </c>
      <c r="D15" s="1">
        <v>8498.9</v>
      </c>
      <c r="E15" s="1">
        <v>210.3</v>
      </c>
      <c r="F15" s="1">
        <v>2546</v>
      </c>
      <c r="G15" s="1">
        <v>31.8</v>
      </c>
      <c r="H15" s="1">
        <v>0</v>
      </c>
      <c r="I15" s="1">
        <v>0</v>
      </c>
      <c r="J15" s="1">
        <v>0</v>
      </c>
      <c r="K15" s="1">
        <v>0</v>
      </c>
      <c r="L15">
        <v>41.7</v>
      </c>
      <c r="M15" s="1">
        <v>0</v>
      </c>
      <c r="N15">
        <v>-311.7</v>
      </c>
      <c r="O15" s="1">
        <v>0</v>
      </c>
      <c r="P15">
        <v>-1132.0999999999999</v>
      </c>
      <c r="Q15">
        <v>-3796.9</v>
      </c>
      <c r="R15">
        <v>734.8</v>
      </c>
    </row>
    <row r="16" spans="1:18">
      <c r="A16" s="1" t="s">
        <v>25</v>
      </c>
      <c r="B16" s="1" t="s">
        <v>21</v>
      </c>
      <c r="C16" s="1" t="str">
        <f>_xlfn.CONCAT(A16,B16)</f>
        <v>ArchaeaIntN</v>
      </c>
      <c r="D16" s="1">
        <v>2186.5</v>
      </c>
      <c r="E16" s="1">
        <v>62.5</v>
      </c>
      <c r="F16" s="1">
        <v>1328</v>
      </c>
      <c r="G16" s="1">
        <v>22.6</v>
      </c>
      <c r="H16" s="1">
        <v>0</v>
      </c>
      <c r="I16" s="1">
        <v>0</v>
      </c>
      <c r="J16" s="1">
        <v>0</v>
      </c>
      <c r="K16" s="1">
        <v>0</v>
      </c>
      <c r="L16">
        <v>15.2</v>
      </c>
      <c r="M16" s="1">
        <v>0</v>
      </c>
      <c r="N16">
        <v>-55.6</v>
      </c>
      <c r="O16" s="1">
        <v>0</v>
      </c>
      <c r="P16">
        <v>-984.5</v>
      </c>
      <c r="Q16">
        <v>-3530.1</v>
      </c>
      <c r="R16">
        <v>835.3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2026-04-28T10:41:34Z</dcterms:created>
  <dcterms:modified xsi:type="dcterms:W3CDTF">2026-05-14T07:13:27Z</dcterms:modified>
  <cp:category/>
  <cp:contentStatus/>
</cp:coreProperties>
</file>