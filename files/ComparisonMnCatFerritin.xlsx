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C83FD399-D7E3-4A20-B395-79A8282EB6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ster" sheetId="1" r:id="rId1"/>
    <sheet name="DeltaGa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N8" i="1" s="1"/>
  <c r="O8" i="1" s="1"/>
  <c r="M9" i="1"/>
  <c r="N9" i="1" s="1"/>
  <c r="O9" i="1" s="1"/>
  <c r="M10" i="1"/>
  <c r="N10" i="1" s="1"/>
  <c r="O10" i="1" s="1"/>
  <c r="M3" i="1"/>
  <c r="N3" i="1" s="1"/>
  <c r="O3" i="1" s="1"/>
  <c r="M4" i="1"/>
  <c r="N4" i="1" s="1"/>
  <c r="O4" i="1" s="1"/>
  <c r="M5" i="1"/>
  <c r="N5" i="1" s="1"/>
  <c r="O5" i="1" s="1"/>
  <c r="M6" i="1"/>
  <c r="N6" i="1" s="1"/>
  <c r="O6" i="1" s="1"/>
  <c r="M7" i="1"/>
  <c r="N7" i="1" s="1"/>
  <c r="O7" i="1" s="1"/>
  <c r="M11" i="1"/>
  <c r="N11" i="1" s="1"/>
  <c r="O11" i="1" s="1"/>
  <c r="M12" i="1"/>
  <c r="N12" i="1" s="1"/>
  <c r="O12" i="1" s="1"/>
  <c r="M13" i="1"/>
  <c r="N13" i="1" s="1"/>
  <c r="O13" i="1" s="1"/>
  <c r="M2" i="1"/>
  <c r="N2" i="1" s="1"/>
  <c r="O2" i="1" s="1"/>
  <c r="D18" i="2"/>
</calcChain>
</file>

<file path=xl/sharedStrings.xml><?xml version="1.0" encoding="utf-8"?>
<sst xmlns="http://schemas.openxmlformats.org/spreadsheetml/2006/main" count="71" uniqueCount="41">
  <si>
    <t>MnCatType</t>
  </si>
  <si>
    <t>InterfaceType</t>
  </si>
  <si>
    <t>BSA</t>
  </si>
  <si>
    <t>Residues</t>
  </si>
  <si>
    <t>Atoms</t>
  </si>
  <si>
    <t>LD</t>
  </si>
  <si>
    <t>StdDevp BSA</t>
  </si>
  <si>
    <t>StdDevp InterfaceResidues</t>
  </si>
  <si>
    <t>StdDevp InterfaceAtoms</t>
  </si>
  <si>
    <t>StdDevp LD</t>
  </si>
  <si>
    <t>DeltaG(int)</t>
  </si>
  <si>
    <t>StdDev DeltaG</t>
  </si>
  <si>
    <t>DeltaG(int)/BSA</t>
  </si>
  <si>
    <t>ROUND</t>
  </si>
  <si>
    <t>MinusRound</t>
  </si>
  <si>
    <t>Mesophilic MnCatalase</t>
  </si>
  <si>
    <t>IntS</t>
  </si>
  <si>
    <t>IntS'</t>
  </si>
  <si>
    <t>IntN</t>
  </si>
  <si>
    <t>Thermophilic MnCatalase</t>
  </si>
  <si>
    <t>Dps</t>
  </si>
  <si>
    <t>IntA</t>
  </si>
  <si>
    <t>IntB</t>
  </si>
  <si>
    <t>IntC</t>
  </si>
  <si>
    <t>C-ferritin</t>
  </si>
  <si>
    <t>1h96</t>
  </si>
  <si>
    <t>1r03</t>
  </si>
  <si>
    <t>1rcd</t>
  </si>
  <si>
    <t>1z6o</t>
  </si>
  <si>
    <t>2w0o</t>
  </si>
  <si>
    <t>2za7</t>
  </si>
  <si>
    <t>3a68</t>
  </si>
  <si>
    <t>3vnx</t>
  </si>
  <si>
    <t>4iwk</t>
  </si>
  <si>
    <t>4lqh</t>
  </si>
  <si>
    <t>6lij</t>
  </si>
  <si>
    <t>6lk9</t>
  </si>
  <si>
    <t>6lpe</t>
  </si>
  <si>
    <t>7dqp</t>
  </si>
  <si>
    <t>7emk</t>
  </si>
  <si>
    <t>7vhr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</si>
</sst>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J16" sqref="J16"/>
    </sheetView>
  </sheetViews>
  <sheetFormatPr defaultRowHeight="15"/>
  <cols>
    <col min="1" max="1" width="24.85546875" customWidth="1"/>
    <col min="6" max="6" width="7.7109375" customWidth="1"/>
    <col min="7" max="7" width="11.140625" customWidth="1"/>
    <col min="8" max="8" width="23.28515625" customWidth="1"/>
    <col min="9" max="9" width="21.5703125" customWidth="1"/>
    <col min="10" max="10" width="15" customWidth="1"/>
    <col min="11" max="11" width="11.5703125" customWidth="1"/>
    <col min="12" max="12" width="15.5703125" customWidth="1"/>
    <col min="13" max="13" width="14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7767.8</v>
      </c>
      <c r="D2">
        <v>199.8</v>
      </c>
      <c r="E2">
        <v>793.7</v>
      </c>
      <c r="F2">
        <v>24.6</v>
      </c>
      <c r="G2">
        <v>58.5</v>
      </c>
      <c r="H2">
        <v>1.9</v>
      </c>
      <c r="I2">
        <v>6.4</v>
      </c>
      <c r="J2">
        <v>0.2</v>
      </c>
      <c r="K2">
        <v>-257.8</v>
      </c>
      <c r="L2">
        <v>86.89999999999992</v>
      </c>
      <c r="M2">
        <f>K2/C2</f>
        <v>-3.3188290120754915E-2</v>
      </c>
      <c r="N2">
        <f>ROUND(M2,3)</f>
        <v>-3.3000000000000002E-2</v>
      </c>
      <c r="O2">
        <f>-N2</f>
        <v>3.3000000000000002E-2</v>
      </c>
    </row>
    <row r="3" spans="1:15">
      <c r="A3" t="s">
        <v>15</v>
      </c>
      <c r="B3" t="s">
        <v>17</v>
      </c>
      <c r="C3">
        <v>3575.4</v>
      </c>
      <c r="D3">
        <v>91</v>
      </c>
      <c r="E3">
        <v>359.8</v>
      </c>
      <c r="F3">
        <v>25.3</v>
      </c>
      <c r="G3">
        <v>45.9</v>
      </c>
      <c r="H3">
        <v>1.2</v>
      </c>
      <c r="I3">
        <v>3.9</v>
      </c>
      <c r="J3">
        <v>0.1</v>
      </c>
      <c r="K3">
        <v>-92.949999999999989</v>
      </c>
      <c r="L3">
        <v>6.6500000000001256</v>
      </c>
      <c r="M3">
        <f t="shared" ref="M3:M13" si="0">K3/C3</f>
        <v>-2.599709123454718E-2</v>
      </c>
      <c r="N3">
        <f t="shared" ref="N3:N13" si="1">ROUND(M3,3)</f>
        <v>-2.5999999999999999E-2</v>
      </c>
      <c r="O3">
        <f t="shared" ref="O3:O13" si="2">-N3</f>
        <v>2.5999999999999999E-2</v>
      </c>
    </row>
    <row r="4" spans="1:15">
      <c r="A4" t="s">
        <v>15</v>
      </c>
      <c r="B4" t="s">
        <v>18</v>
      </c>
      <c r="C4">
        <v>2148.8000000000002</v>
      </c>
      <c r="D4">
        <v>67.099999999999994</v>
      </c>
      <c r="E4">
        <v>215.4</v>
      </c>
      <c r="F4">
        <v>14.7</v>
      </c>
      <c r="G4">
        <v>56.9</v>
      </c>
      <c r="H4">
        <v>2.1</v>
      </c>
      <c r="I4">
        <v>5.2</v>
      </c>
      <c r="J4">
        <v>0.4</v>
      </c>
      <c r="K4">
        <v>-43.599999999999994</v>
      </c>
      <c r="L4">
        <v>22.70000000000001</v>
      </c>
      <c r="M4">
        <f t="shared" si="0"/>
        <v>-2.0290394638868201E-2</v>
      </c>
      <c r="N4">
        <f t="shared" si="1"/>
        <v>-0.02</v>
      </c>
      <c r="O4">
        <f t="shared" si="2"/>
        <v>0.02</v>
      </c>
    </row>
    <row r="5" spans="1:15">
      <c r="A5" t="s">
        <v>19</v>
      </c>
      <c r="B5" t="s">
        <v>16</v>
      </c>
      <c r="C5">
        <v>2450.1</v>
      </c>
      <c r="D5">
        <v>66</v>
      </c>
      <c r="E5">
        <v>240.8</v>
      </c>
      <c r="F5">
        <v>22</v>
      </c>
      <c r="G5">
        <v>15.2</v>
      </c>
      <c r="H5">
        <v>1</v>
      </c>
      <c r="I5">
        <v>1.3</v>
      </c>
      <c r="J5">
        <v>0.1</v>
      </c>
      <c r="K5">
        <v>-72.949999999999989</v>
      </c>
      <c r="L5">
        <v>0.65000000000114733</v>
      </c>
      <c r="M5">
        <f t="shared" si="0"/>
        <v>-2.9774294926737679E-2</v>
      </c>
      <c r="N5">
        <f t="shared" si="1"/>
        <v>-0.03</v>
      </c>
      <c r="O5">
        <f t="shared" si="2"/>
        <v>0.03</v>
      </c>
    </row>
    <row r="6" spans="1:15">
      <c r="A6" t="s">
        <v>19</v>
      </c>
      <c r="B6" t="s">
        <v>17</v>
      </c>
      <c r="C6">
        <v>7763.9</v>
      </c>
      <c r="D6">
        <v>200.7</v>
      </c>
      <c r="E6">
        <v>766.7</v>
      </c>
      <c r="F6">
        <v>31</v>
      </c>
      <c r="G6">
        <v>106.9</v>
      </c>
      <c r="H6">
        <v>1.6</v>
      </c>
      <c r="I6">
        <v>5.8</v>
      </c>
      <c r="J6">
        <v>0.3</v>
      </c>
      <c r="K6">
        <v>-281.54999999999995</v>
      </c>
      <c r="L6">
        <v>3.1500000000024024</v>
      </c>
      <c r="M6">
        <f t="shared" si="0"/>
        <v>-3.6263991035433221E-2</v>
      </c>
      <c r="N6">
        <f t="shared" si="1"/>
        <v>-3.5999999999999997E-2</v>
      </c>
      <c r="O6">
        <f t="shared" si="2"/>
        <v>3.5999999999999997E-2</v>
      </c>
    </row>
    <row r="7" spans="1:15">
      <c r="A7" t="s">
        <v>19</v>
      </c>
      <c r="B7" t="s">
        <v>18</v>
      </c>
      <c r="C7">
        <v>2061.1999999999998</v>
      </c>
      <c r="D7">
        <v>59.9</v>
      </c>
      <c r="E7">
        <v>212.1</v>
      </c>
      <c r="F7">
        <v>22.7</v>
      </c>
      <c r="G7">
        <v>19</v>
      </c>
      <c r="H7">
        <v>0.9</v>
      </c>
      <c r="I7">
        <v>4.5999999999999996</v>
      </c>
      <c r="J7">
        <v>0.3</v>
      </c>
      <c r="K7">
        <v>-65.849999999999994</v>
      </c>
      <c r="L7">
        <v>1.0500000000008489</v>
      </c>
      <c r="M7">
        <f t="shared" si="0"/>
        <v>-3.1947409276149814E-2</v>
      </c>
      <c r="N7">
        <f t="shared" si="1"/>
        <v>-3.2000000000000001E-2</v>
      </c>
      <c r="O7">
        <f t="shared" si="2"/>
        <v>3.2000000000000001E-2</v>
      </c>
    </row>
    <row r="8" spans="1:15">
      <c r="A8" t="s">
        <v>20</v>
      </c>
      <c r="B8" t="s">
        <v>21</v>
      </c>
      <c r="C8">
        <v>2646</v>
      </c>
      <c r="D8">
        <v>71.3</v>
      </c>
      <c r="E8">
        <v>261.10000000000002</v>
      </c>
      <c r="F8">
        <v>23</v>
      </c>
      <c r="G8">
        <v>467</v>
      </c>
      <c r="H8">
        <v>10.6</v>
      </c>
      <c r="I8">
        <v>46.9</v>
      </c>
      <c r="J8">
        <v>1.8</v>
      </c>
      <c r="K8">
        <v>-80</v>
      </c>
      <c r="L8">
        <v>21.9</v>
      </c>
      <c r="M8">
        <f>K8/C8</f>
        <v>-3.0234315948601664E-2</v>
      </c>
      <c r="N8">
        <f>ROUND(M8,3)</f>
        <v>-0.03</v>
      </c>
      <c r="O8">
        <f>-N8</f>
        <v>0.03</v>
      </c>
    </row>
    <row r="9" spans="1:15">
      <c r="A9" t="s">
        <v>20</v>
      </c>
      <c r="B9" t="s">
        <v>22</v>
      </c>
      <c r="C9">
        <v>1136</v>
      </c>
      <c r="D9">
        <v>31.8</v>
      </c>
      <c r="E9">
        <v>120.6</v>
      </c>
      <c r="F9">
        <v>16.7</v>
      </c>
      <c r="G9">
        <v>408</v>
      </c>
      <c r="H9">
        <v>11.2</v>
      </c>
      <c r="I9">
        <v>40.9</v>
      </c>
      <c r="J9">
        <v>2.8</v>
      </c>
      <c r="K9">
        <v>-24.6</v>
      </c>
      <c r="L9">
        <v>14</v>
      </c>
      <c r="M9">
        <f>K9/C9</f>
        <v>-2.1654929577464791E-2</v>
      </c>
      <c r="N9">
        <f>ROUND(M9,3)</f>
        <v>-2.1999999999999999E-2</v>
      </c>
      <c r="O9">
        <f>-N9</f>
        <v>2.1999999999999999E-2</v>
      </c>
    </row>
    <row r="10" spans="1:15">
      <c r="A10" t="s">
        <v>20</v>
      </c>
      <c r="B10" t="s">
        <v>23</v>
      </c>
      <c r="C10">
        <v>1001</v>
      </c>
      <c r="D10">
        <v>27.3</v>
      </c>
      <c r="E10">
        <v>105.4</v>
      </c>
      <c r="F10">
        <v>18.2</v>
      </c>
      <c r="G10">
        <v>358</v>
      </c>
      <c r="H10">
        <v>8.5</v>
      </c>
      <c r="I10">
        <v>35.4</v>
      </c>
      <c r="J10">
        <v>3</v>
      </c>
      <c r="K10">
        <v>-25.6</v>
      </c>
      <c r="L10">
        <v>12.2</v>
      </c>
      <c r="M10">
        <f>K10/C10</f>
        <v>-2.5574425574425574E-2</v>
      </c>
      <c r="N10">
        <f>ROUND(M10,3)</f>
        <v>-2.5999999999999999E-2</v>
      </c>
      <c r="O10">
        <f>-N10</f>
        <v>2.5999999999999999E-2</v>
      </c>
    </row>
    <row r="11" spans="1:15">
      <c r="A11" t="s">
        <v>24</v>
      </c>
      <c r="B11" t="s">
        <v>21</v>
      </c>
      <c r="C11" s="1">
        <v>2867</v>
      </c>
      <c r="D11">
        <v>71.2</v>
      </c>
      <c r="E11">
        <v>300.10000000000002</v>
      </c>
      <c r="F11">
        <v>21.7</v>
      </c>
      <c r="G11">
        <v>330</v>
      </c>
      <c r="H11">
        <v>8.9</v>
      </c>
      <c r="I11">
        <v>36.9</v>
      </c>
      <c r="J11">
        <v>1.7</v>
      </c>
      <c r="K11">
        <v>-89.1</v>
      </c>
      <c r="L11">
        <v>15.8</v>
      </c>
      <c r="M11">
        <f t="shared" si="0"/>
        <v>-3.1077781653296128E-2</v>
      </c>
      <c r="N11">
        <f t="shared" si="1"/>
        <v>-3.1E-2</v>
      </c>
      <c r="O11">
        <f t="shared" si="2"/>
        <v>3.1E-2</v>
      </c>
    </row>
    <row r="12" spans="1:15">
      <c r="A12" t="s">
        <v>24</v>
      </c>
      <c r="B12" t="s">
        <v>22</v>
      </c>
      <c r="C12">
        <v>1495</v>
      </c>
      <c r="D12">
        <v>40.200000000000003</v>
      </c>
      <c r="E12">
        <v>152</v>
      </c>
      <c r="F12">
        <v>18.3</v>
      </c>
      <c r="G12">
        <v>511</v>
      </c>
      <c r="H12">
        <v>13.2</v>
      </c>
      <c r="I12">
        <v>47.7</v>
      </c>
      <c r="J12">
        <v>1.5</v>
      </c>
      <c r="K12">
        <v>-35.4</v>
      </c>
      <c r="L12">
        <v>13</v>
      </c>
      <c r="M12">
        <f t="shared" si="0"/>
        <v>-2.3678929765886286E-2</v>
      </c>
      <c r="N12">
        <f t="shared" si="1"/>
        <v>-2.4E-2</v>
      </c>
      <c r="O12">
        <f t="shared" si="2"/>
        <v>2.4E-2</v>
      </c>
    </row>
    <row r="13" spans="1:15">
      <c r="A13" t="s">
        <v>24</v>
      </c>
      <c r="B13" t="s">
        <v>23</v>
      </c>
      <c r="C13">
        <v>1118</v>
      </c>
      <c r="D13">
        <v>27.3</v>
      </c>
      <c r="E13">
        <v>110.9</v>
      </c>
      <c r="F13">
        <v>17.2</v>
      </c>
      <c r="G13">
        <v>125</v>
      </c>
      <c r="H13">
        <v>8.5</v>
      </c>
      <c r="I13">
        <v>11.5</v>
      </c>
      <c r="J13">
        <v>0.9</v>
      </c>
      <c r="K13">
        <v>-29.1</v>
      </c>
      <c r="L13">
        <v>5.3</v>
      </c>
      <c r="M13">
        <f t="shared" si="0"/>
        <v>-2.602862254025045E-2</v>
      </c>
      <c r="N13">
        <f t="shared" si="1"/>
        <v>-2.5999999999999999E-2</v>
      </c>
      <c r="O13">
        <f t="shared" si="2"/>
        <v>2.5999999999999999E-2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958B-1C6A-45A6-B803-A8E106DC049C}">
  <dimension ref="A1:D19"/>
  <sheetViews>
    <sheetView workbookViewId="0">
      <selection activeCell="G17" sqref="G17"/>
    </sheetView>
  </sheetViews>
  <sheetFormatPr defaultRowHeight="15"/>
  <sheetData>
    <row r="1" spans="1:4">
      <c r="A1" t="s">
        <v>24</v>
      </c>
      <c r="B1" t="s">
        <v>25</v>
      </c>
      <c r="C1">
        <v>-234</v>
      </c>
      <c r="D1">
        <v>-234</v>
      </c>
    </row>
    <row r="2" spans="1:4">
      <c r="A2" t="s">
        <v>24</v>
      </c>
      <c r="B2" t="s">
        <v>26</v>
      </c>
      <c r="C2">
        <v>-329.7</v>
      </c>
      <c r="D2">
        <v>-234</v>
      </c>
    </row>
    <row r="3" spans="1:4">
      <c r="A3" t="s">
        <v>24</v>
      </c>
      <c r="B3" t="s">
        <v>27</v>
      </c>
      <c r="C3">
        <v>-277.39999999999998</v>
      </c>
      <c r="D3">
        <v>-308</v>
      </c>
    </row>
    <row r="4" spans="1:4">
      <c r="A4" t="s">
        <v>24</v>
      </c>
      <c r="B4" t="s">
        <v>28</v>
      </c>
      <c r="C4">
        <v>-209.4</v>
      </c>
      <c r="D4">
        <v>-213.1</v>
      </c>
    </row>
    <row r="5" spans="1:4">
      <c r="A5" t="s">
        <v>24</v>
      </c>
      <c r="B5" t="s">
        <v>29</v>
      </c>
      <c r="C5">
        <v>-370.4</v>
      </c>
      <c r="D5">
        <v>-253.5</v>
      </c>
    </row>
    <row r="6" spans="1:4">
      <c r="A6" t="s">
        <v>24</v>
      </c>
      <c r="B6" t="s">
        <v>30</v>
      </c>
      <c r="C6">
        <v>-274.2</v>
      </c>
      <c r="D6">
        <v>-274</v>
      </c>
    </row>
    <row r="7" spans="1:4">
      <c r="A7" t="s">
        <v>24</v>
      </c>
      <c r="B7" t="s">
        <v>31</v>
      </c>
      <c r="C7">
        <v>-168.5</v>
      </c>
      <c r="D7">
        <v>-311</v>
      </c>
    </row>
    <row r="8" spans="1:4">
      <c r="A8" t="s">
        <v>24</v>
      </c>
      <c r="B8" t="s">
        <v>32</v>
      </c>
      <c r="C8">
        <v>-317.39999999999998</v>
      </c>
      <c r="D8">
        <v>-319.7</v>
      </c>
    </row>
    <row r="9" spans="1:4">
      <c r="A9" t="s">
        <v>24</v>
      </c>
      <c r="B9" t="s">
        <v>33</v>
      </c>
      <c r="C9">
        <v>-225.6</v>
      </c>
      <c r="D9">
        <v>-232</v>
      </c>
    </row>
    <row r="10" spans="1:4">
      <c r="A10" t="s">
        <v>24</v>
      </c>
      <c r="B10" t="s">
        <v>34</v>
      </c>
      <c r="C10">
        <v>-357.1</v>
      </c>
      <c r="D10">
        <v>-350.3</v>
      </c>
    </row>
    <row r="11" spans="1:4">
      <c r="A11" t="s">
        <v>24</v>
      </c>
      <c r="B11" t="s">
        <v>35</v>
      </c>
      <c r="C11">
        <v>-94.7</v>
      </c>
      <c r="D11">
        <v>-97</v>
      </c>
    </row>
    <row r="12" spans="1:4">
      <c r="A12" t="s">
        <v>24</v>
      </c>
      <c r="B12" t="s">
        <v>36</v>
      </c>
      <c r="C12">
        <v>-303.5</v>
      </c>
      <c r="D12">
        <v>-338</v>
      </c>
    </row>
    <row r="13" spans="1:4">
      <c r="A13" t="s">
        <v>24</v>
      </c>
      <c r="B13" t="s">
        <v>37</v>
      </c>
      <c r="C13">
        <v>-307.89999999999998</v>
      </c>
      <c r="D13">
        <v>-269.7</v>
      </c>
    </row>
    <row r="14" spans="1:4">
      <c r="A14" t="s">
        <v>24</v>
      </c>
      <c r="B14" t="s">
        <v>38</v>
      </c>
      <c r="C14">
        <v>-301.7</v>
      </c>
      <c r="D14">
        <v>-302.8</v>
      </c>
    </row>
    <row r="15" spans="1:4">
      <c r="A15" t="s">
        <v>24</v>
      </c>
      <c r="B15" t="s">
        <v>39</v>
      </c>
      <c r="C15">
        <v>-377.2</v>
      </c>
      <c r="D15">
        <v>-218</v>
      </c>
    </row>
    <row r="16" spans="1:4">
      <c r="A16" t="s">
        <v>24</v>
      </c>
      <c r="B16" t="s">
        <v>40</v>
      </c>
      <c r="C16">
        <v>-221.8</v>
      </c>
      <c r="D16">
        <v>-220</v>
      </c>
    </row>
    <row r="18" spans="4:4">
      <c r="D18">
        <f>AVERAGE(D1:D16)</f>
        <v>-260.94375000000002</v>
      </c>
    </row>
    <row r="19" spans="4:4">
      <c r="D19">
        <v>-261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2024-10-23T06:24:09Z</dcterms:created>
  <dcterms:modified xsi:type="dcterms:W3CDTF">2025-06-12T06:54:12Z</dcterms:modified>
  <cp:category/>
  <cp:contentStatus/>
</cp:coreProperties>
</file>